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iltering" sheetId="1" state="visible" r:id="rId2"/>
    <sheet name="polymerase_analysis" sheetId="2" state="visible" r:id="rId3"/>
    <sheet name="feature_neighbourhoods" sheetId="3" state="visible" r:id="rId4"/>
  </sheets>
  <calcPr iterateCount="100" refMode="A1" iterate="false" iterateDelta="0.0001"/>
  <extLst>
    <ext xmlns:loext="http://schemas.libreoffice.org/" uri="{7626C862-2A13-11E5-B345-FEFF819CDC9F}">
      <loext:extCalcPr stringRefSyntax="CalcA1ExcelA1"/>
    </ext>
  </extLst>
</workbook>
</file>

<file path=xl/comments1.xml><?xml version="1.0" encoding="utf-8"?>
<comments xmlns="http://schemas.openxmlformats.org/spreadsheetml/2006/main" xmlns:xdr="http://schemas.openxmlformats.org/drawingml/2006/spreadsheetDrawing">
  <authors>
    <author> </author>
  </authors>
  <commentList>
    <comment ref="A1" authorId="0">
      <text>
        <r>
          <rPr>
            <sz val="10"/>
            <color rgb="FF000000"/>
            <rFont val="Arial"/>
            <family val="0"/>
            <charset val="1"/>
          </rPr>
          <t xml:space="preserve">This sheet is used for removing features from the genome coverage data frame used to make the heatmap figures. It works by filtering features either by their chromosome coordinates or by the feature name. In both cases, a valid Filter.group value must be provided. Options are: "all", "RPC", "RPC34", "RPC53", "RPC160"
To filter by coordinates: provide Chromosome, Start, Stop and Strand values that match those of the feature you want to be removed. The Feature value is not used by the filter (i.e., can be anything you like)
To filter by feature name: provide the name of the feature as is shown in the heatmap figure.</t>
        </r>
      </text>
    </comment>
  </commentList>
</comments>
</file>

<file path=xl/sharedStrings.xml><?xml version="1.0" encoding="utf-8"?>
<sst xmlns="http://schemas.openxmlformats.org/spreadsheetml/2006/main" count="119" uniqueCount="70">
  <si>
    <t xml:space="preserve">Feature</t>
  </si>
  <si>
    <t xml:space="preserve">Filter.group</t>
  </si>
  <si>
    <t xml:space="preserve">Chromosome</t>
  </si>
  <si>
    <t xml:space="preserve">Start</t>
  </si>
  <si>
    <t xml:space="preserve">Stop</t>
  </si>
  <si>
    <t xml:space="preserve">Strand</t>
  </si>
  <si>
    <t xml:space="preserve">LEU2 promoter</t>
  </si>
  <si>
    <t xml:space="preserve">RPC</t>
  </si>
  <si>
    <t xml:space="preserve">chrIII</t>
  </si>
  <si>
    <t xml:space="preserve">positive</t>
  </si>
  <si>
    <t xml:space="preserve">LEU2/YCL018W gene</t>
  </si>
  <si>
    <t xml:space="preserve">LEU2 downstream</t>
  </si>
  <si>
    <t xml:space="preserve">ARS209</t>
  </si>
  <si>
    <t xml:space="preserve">chrII</t>
  </si>
  <si>
    <t xml:space="preserve">URA3</t>
  </si>
  <si>
    <t xml:space="preserve">all</t>
  </si>
  <si>
    <t xml:space="preserve">chrV</t>
  </si>
  <si>
    <t xml:space="preserve">Gal1 promoter</t>
  </si>
  <si>
    <t xml:space="preserve">RPC160/RPO31/YOR116C</t>
  </si>
  <si>
    <t xml:space="preserve">RPC160</t>
  </si>
  <si>
    <t xml:space="preserve">chrXV</t>
  </si>
  <si>
    <t xml:space="preserve">negative</t>
  </si>
  <si>
    <t xml:space="preserve">RPC53</t>
  </si>
  <si>
    <t xml:space="preserve">chrIV</t>
  </si>
  <si>
    <t xml:space="preserve">RPC34</t>
  </si>
  <si>
    <t xml:space="preserve">chrXIV</t>
  </si>
  <si>
    <t xml:space="preserve">Chromosome-organizing-clamp(misc_feature)</t>
  </si>
  <si>
    <t xml:space="preserve">ETC1(misc feature)</t>
  </si>
  <si>
    <t xml:space="preserve">ETC2(misc feature)</t>
  </si>
  <si>
    <t xml:space="preserve">ETC3(misc feature)</t>
  </si>
  <si>
    <t xml:space="preserve">ETC4(misc feature)</t>
  </si>
  <si>
    <t xml:space="preserve">ETC5(misc feature)</t>
  </si>
  <si>
    <t xml:space="preserve">ETC6(misc feature)</t>
  </si>
  <si>
    <t xml:space="preserve">ETC7(misc feature)</t>
  </si>
  <si>
    <t xml:space="preserve">ETC8(misc feature)</t>
  </si>
  <si>
    <t xml:space="preserve">regulatory region</t>
  </si>
  <si>
    <t xml:space="preserve">other RNA</t>
  </si>
  <si>
    <t xml:space="preserve">pseudogene</t>
  </si>
  <si>
    <t xml:space="preserve">RNA.Polymerase</t>
  </si>
  <si>
    <t xml:space="preserve">Feature.type</t>
  </si>
  <si>
    <t xml:space="preserve">Feature.name</t>
  </si>
  <si>
    <t xml:space="preserve">ID.name</t>
  </si>
  <si>
    <t xml:space="preserve">Attribute.name</t>
  </si>
  <si>
    <t xml:space="preserve">Attribute.value</t>
  </si>
  <si>
    <t xml:space="preserve">Buffer.length</t>
  </si>
  <si>
    <t xml:space="preserve">rRNA</t>
  </si>
  <si>
    <t xml:space="preserve">5S rRNA</t>
  </si>
  <si>
    <t xml:space="preserve">rna-NR_132215.1</t>
  </si>
  <si>
    <t xml:space="preserve">chrXII</t>
  </si>
  <si>
    <t xml:space="preserve">tRNA</t>
  </si>
  <si>
    <t xml:space="preserve">gene</t>
  </si>
  <si>
    <t xml:space="preserve">SNR6</t>
  </si>
  <si>
    <t xml:space="preserve">gene-YNCL0006W</t>
  </si>
  <si>
    <t xml:space="preserve">SNR52</t>
  </si>
  <si>
    <t xml:space="preserve">gene-YNCE0020C</t>
  </si>
  <si>
    <t xml:space="preserve">RPR1</t>
  </si>
  <si>
    <t xml:space="preserve">gene-YNCE0007C</t>
  </si>
  <si>
    <t xml:space="preserve">SCR1</t>
  </si>
  <si>
    <t xml:space="preserve">gene-YNCE0024W</t>
  </si>
  <si>
    <t xml:space="preserve">RNA170</t>
  </si>
  <si>
    <t xml:space="preserve">gene-YNCM0032C</t>
  </si>
  <si>
    <t xml:space="preserve">chrXIII</t>
  </si>
  <si>
    <t xml:space="preserve">ZOD1</t>
  </si>
  <si>
    <t xml:space="preserve">gene-YNCM0003W</t>
  </si>
  <si>
    <t xml:space="preserve">gene_biotype</t>
  </si>
  <si>
    <t xml:space="preserve">protein_coding</t>
  </si>
  <si>
    <t xml:space="preserve">centromere</t>
  </si>
  <si>
    <t xml:space="preserve">origin of replication</t>
  </si>
  <si>
    <t xml:space="preserve">RPL</t>
  </si>
  <si>
    <t xml:space="preserve">RPS</t>
  </si>
</sst>
</file>

<file path=xl/styles.xml><?xml version="1.0" encoding="utf-8"?>
<styleSheet xmlns="http://schemas.openxmlformats.org/spreadsheetml/2006/main">
  <numFmts count="2">
    <numFmt numFmtId="164" formatCode="General"/>
    <numFmt numFmtId="165" formatCode="General"/>
  </numFmts>
  <fonts count="10">
    <font>
      <sz val="10"/>
      <color rgb="FF000000"/>
      <name val="Arial"/>
      <family val="0"/>
      <charset val="1"/>
    </font>
    <font>
      <sz val="10"/>
      <name val="Arial"/>
      <family val="0"/>
    </font>
    <font>
      <sz val="10"/>
      <name val="Arial"/>
      <family val="0"/>
    </font>
    <font>
      <sz val="10"/>
      <name val="Arial"/>
      <family val="0"/>
    </font>
    <font>
      <sz val="11"/>
      <color rgb="FF000000"/>
      <name val="Arial"/>
      <family val="2"/>
      <charset val="1"/>
    </font>
    <font>
      <b val="true"/>
      <sz val="11"/>
      <color rgb="FF000000"/>
      <name val="Arial"/>
      <family val="2"/>
      <charset val="1"/>
    </font>
    <font>
      <sz val="11"/>
      <color rgb="FFFF0000"/>
      <name val="Arial"/>
      <family val="2"/>
      <charset val="1"/>
    </font>
    <font>
      <sz val="10"/>
      <color rgb="FF000000"/>
      <name val="Courier New"/>
      <family val="3"/>
      <charset val="1"/>
    </font>
    <font>
      <b val="true"/>
      <sz val="10"/>
      <color rgb="FF000000"/>
      <name val="Courier New"/>
      <family val="3"/>
      <charset val="1"/>
    </font>
    <font>
      <sz val="11"/>
      <color rgb="FF000000"/>
      <name val="Arial"/>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F21" activeCellId="0" sqref="F21"/>
    </sheetView>
  </sheetViews>
  <sheetFormatPr defaultColWidth="12.6796875" defaultRowHeight="13.8" zeroHeight="false" outlineLevelRow="0" outlineLevelCol="0"/>
  <cols>
    <col collapsed="false" customWidth="true" hidden="false" outlineLevel="0" max="1" min="1" style="1" width="34.88"/>
    <col collapsed="false" customWidth="false" hidden="false" outlineLevel="0" max="1024" min="2" style="1" width="12.66"/>
  </cols>
  <sheetData>
    <row r="1" customFormat="false" ht="13.8" hidden="false" customHeight="false" outlineLevel="0" collapsed="false">
      <c r="A1" s="2" t="s">
        <v>0</v>
      </c>
      <c r="B1" s="2" t="s">
        <v>1</v>
      </c>
      <c r="C1" s="2" t="s">
        <v>2</v>
      </c>
      <c r="D1" s="2" t="s">
        <v>3</v>
      </c>
      <c r="E1" s="2" t="s">
        <v>4</v>
      </c>
      <c r="F1" s="2" t="s">
        <v>5</v>
      </c>
      <c r="G1" s="3"/>
      <c r="H1" s="3"/>
      <c r="I1" s="3"/>
      <c r="J1" s="3"/>
      <c r="K1" s="3"/>
      <c r="L1" s="3"/>
      <c r="M1" s="3"/>
      <c r="N1" s="3"/>
      <c r="O1" s="3"/>
      <c r="P1" s="3"/>
      <c r="Q1" s="3"/>
      <c r="R1" s="3"/>
      <c r="S1" s="3"/>
      <c r="T1" s="3"/>
      <c r="U1" s="3"/>
      <c r="V1" s="3"/>
      <c r="W1" s="3"/>
      <c r="X1" s="3"/>
      <c r="Y1" s="3"/>
      <c r="Z1" s="3"/>
    </row>
    <row r="2" customFormat="false" ht="13.8" hidden="false" customHeight="false" outlineLevel="0" collapsed="false">
      <c r="A2" s="4" t="s">
        <v>6</v>
      </c>
      <c r="B2" s="4" t="s">
        <v>7</v>
      </c>
      <c r="C2" s="4" t="s">
        <v>8</v>
      </c>
      <c r="D2" s="4" t="n">
        <v>90907</v>
      </c>
      <c r="E2" s="4" t="n">
        <v>91324</v>
      </c>
      <c r="F2" s="4" t="s">
        <v>9</v>
      </c>
    </row>
    <row r="3" customFormat="false" ht="13.8" hidden="false" customHeight="false" outlineLevel="0" collapsed="false">
      <c r="A3" s="4" t="s">
        <v>10</v>
      </c>
      <c r="B3" s="4" t="s">
        <v>7</v>
      </c>
      <c r="C3" s="4" t="s">
        <v>8</v>
      </c>
      <c r="D3" s="4" t="n">
        <v>91324</v>
      </c>
      <c r="E3" s="4" t="n">
        <v>92418</v>
      </c>
      <c r="F3" s="4" t="s">
        <v>9</v>
      </c>
    </row>
    <row r="4" customFormat="false" ht="13.8" hidden="false" customHeight="false" outlineLevel="0" collapsed="false">
      <c r="A4" s="4" t="s">
        <v>11</v>
      </c>
      <c r="B4" s="4" t="s">
        <v>7</v>
      </c>
      <c r="C4" s="4" t="s">
        <v>8</v>
      </c>
      <c r="D4" s="4" t="n">
        <v>92418</v>
      </c>
      <c r="E4" s="5" t="n">
        <f aca="false">92418+476</f>
        <v>92894</v>
      </c>
      <c r="F4" s="4" t="s">
        <v>9</v>
      </c>
    </row>
    <row r="5" customFormat="false" ht="13.8" hidden="false" customHeight="false" outlineLevel="0" collapsed="false">
      <c r="A5" s="6" t="s">
        <v>12</v>
      </c>
      <c r="B5" s="6" t="s">
        <v>7</v>
      </c>
      <c r="C5" s="6" t="s">
        <v>13</v>
      </c>
      <c r="D5" s="6" t="n">
        <v>254789</v>
      </c>
      <c r="E5" s="6" t="n">
        <v>255161</v>
      </c>
    </row>
    <row r="6" customFormat="false" ht="13.8" hidden="false" customHeight="false" outlineLevel="0" collapsed="false">
      <c r="A6" s="4" t="s">
        <v>14</v>
      </c>
      <c r="B6" s="4" t="s">
        <v>15</v>
      </c>
      <c r="C6" s="4" t="s">
        <v>16</v>
      </c>
      <c r="D6" s="5" t="n">
        <f aca="false">116167-216</f>
        <v>115951</v>
      </c>
      <c r="E6" s="5" t="n">
        <f aca="false">116970+77</f>
        <v>117047</v>
      </c>
      <c r="F6" s="4" t="s">
        <v>9</v>
      </c>
    </row>
    <row r="7" customFormat="false" ht="13.8" hidden="false" customHeight="false" outlineLevel="0" collapsed="false">
      <c r="A7" s="4" t="s">
        <v>17</v>
      </c>
      <c r="B7" s="4" t="s">
        <v>15</v>
      </c>
      <c r="C7" s="4" t="s">
        <v>13</v>
      </c>
      <c r="D7" s="4" t="n">
        <v>278213</v>
      </c>
      <c r="E7" s="4" t="n">
        <v>278947</v>
      </c>
      <c r="F7" s="4" t="s">
        <v>9</v>
      </c>
    </row>
    <row r="8" customFormat="false" ht="13.8" hidden="false" customHeight="false" outlineLevel="0" collapsed="false">
      <c r="A8" s="4" t="s">
        <v>18</v>
      </c>
      <c r="B8" s="4" t="s">
        <v>19</v>
      </c>
      <c r="C8" s="4" t="s">
        <v>20</v>
      </c>
      <c r="D8" s="4" t="n">
        <v>539421</v>
      </c>
      <c r="E8" s="4" t="n">
        <v>544813</v>
      </c>
      <c r="F8" s="4" t="s">
        <v>21</v>
      </c>
    </row>
    <row r="9" customFormat="false" ht="13.8" hidden="false" customHeight="false" outlineLevel="0" collapsed="false">
      <c r="A9" s="4" t="s">
        <v>22</v>
      </c>
      <c r="B9" s="4" t="s">
        <v>22</v>
      </c>
      <c r="C9" s="4" t="s">
        <v>23</v>
      </c>
      <c r="D9" s="4" t="n">
        <v>182734</v>
      </c>
      <c r="E9" s="4" t="n">
        <v>184823</v>
      </c>
      <c r="F9" s="4" t="s">
        <v>9</v>
      </c>
    </row>
    <row r="10" customFormat="false" ht="13.8" hidden="false" customHeight="false" outlineLevel="0" collapsed="false">
      <c r="A10" s="4" t="s">
        <v>24</v>
      </c>
      <c r="B10" s="4" t="s">
        <v>24</v>
      </c>
      <c r="C10" s="4" t="s">
        <v>25</v>
      </c>
      <c r="D10" s="4" t="n">
        <v>634095</v>
      </c>
      <c r="E10" s="4" t="n">
        <v>635947</v>
      </c>
      <c r="F10" s="4" t="s">
        <v>21</v>
      </c>
    </row>
    <row r="11" customFormat="false" ht="13.8" hidden="false" customHeight="false" outlineLevel="0" collapsed="false">
      <c r="A11" s="4" t="s">
        <v>26</v>
      </c>
      <c r="B11" s="4" t="s">
        <v>15</v>
      </c>
    </row>
    <row r="12" customFormat="false" ht="13.8" hidden="false" customHeight="false" outlineLevel="0" collapsed="false">
      <c r="A12" s="4" t="s">
        <v>27</v>
      </c>
      <c r="B12" s="4" t="s">
        <v>15</v>
      </c>
    </row>
    <row r="13" customFormat="false" ht="13.8" hidden="false" customHeight="false" outlineLevel="0" collapsed="false">
      <c r="A13" s="4" t="s">
        <v>28</v>
      </c>
      <c r="B13" s="4" t="s">
        <v>15</v>
      </c>
    </row>
    <row r="14" customFormat="false" ht="13.8" hidden="false" customHeight="false" outlineLevel="0" collapsed="false">
      <c r="A14" s="4" t="s">
        <v>29</v>
      </c>
      <c r="B14" s="4" t="s">
        <v>15</v>
      </c>
    </row>
    <row r="15" customFormat="false" ht="13.8" hidden="false" customHeight="false" outlineLevel="0" collapsed="false">
      <c r="A15" s="4" t="s">
        <v>30</v>
      </c>
      <c r="B15" s="4" t="s">
        <v>15</v>
      </c>
    </row>
    <row r="16" customFormat="false" ht="13.8" hidden="false" customHeight="false" outlineLevel="0" collapsed="false">
      <c r="A16" s="4" t="s">
        <v>31</v>
      </c>
      <c r="B16" s="4" t="s">
        <v>15</v>
      </c>
    </row>
    <row r="17" customFormat="false" ht="13.8" hidden="false" customHeight="false" outlineLevel="0" collapsed="false">
      <c r="A17" s="4" t="s">
        <v>32</v>
      </c>
      <c r="B17" s="4" t="s">
        <v>15</v>
      </c>
    </row>
    <row r="18" customFormat="false" ht="13.8" hidden="false" customHeight="false" outlineLevel="0" collapsed="false">
      <c r="A18" s="4" t="s">
        <v>33</v>
      </c>
      <c r="B18" s="4" t="s">
        <v>15</v>
      </c>
    </row>
    <row r="19" customFormat="false" ht="13.8" hidden="false" customHeight="false" outlineLevel="0" collapsed="false">
      <c r="A19" s="4" t="s">
        <v>34</v>
      </c>
      <c r="B19" s="4" t="s">
        <v>15</v>
      </c>
    </row>
    <row r="20" customFormat="false" ht="13.8" hidden="false" customHeight="false" outlineLevel="0" collapsed="false">
      <c r="A20" s="4" t="s">
        <v>35</v>
      </c>
      <c r="B20" s="4" t="s">
        <v>15</v>
      </c>
    </row>
    <row r="21" customFormat="false" ht="13.8" hidden="false" customHeight="false" outlineLevel="0" collapsed="false">
      <c r="A21" s="4" t="s">
        <v>36</v>
      </c>
      <c r="B21" s="4" t="s">
        <v>15</v>
      </c>
    </row>
    <row r="22" customFormat="false" ht="13.8" hidden="false" customHeight="false" outlineLevel="0" collapsed="false">
      <c r="A22" s="4" t="s">
        <v>37</v>
      </c>
      <c r="B22" s="4" t="s">
        <v>15</v>
      </c>
    </row>
    <row r="23" customFormat="false" ht="13.8" hidden="false" customHeight="false" outlineLevel="0" collapsed="false">
      <c r="A23" s="4"/>
      <c r="B23" s="4"/>
    </row>
    <row r="24" customFormat="false" ht="13.8" hidden="false" customHeight="false" outlineLevel="0" collapsed="false">
      <c r="A24" s="0"/>
      <c r="B24" s="4"/>
    </row>
    <row r="25" customFormat="false" ht="13.8" hidden="false" customHeight="false" outlineLevel="0" collapsed="false">
      <c r="A25" s="0"/>
      <c r="B25" s="4"/>
    </row>
    <row r="26" customFormat="false" ht="13.8" hidden="false" customHeight="false" outlineLevel="0" collapsed="false">
      <c r="A26" s="0"/>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C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F9" activeCellId="0" sqref="F9"/>
    </sheetView>
  </sheetViews>
  <sheetFormatPr defaultColWidth="12.640625" defaultRowHeight="15.75" zeroHeight="false" outlineLevelRow="0" outlineLevelCol="0"/>
  <cols>
    <col collapsed="false" customWidth="true" hidden="false" outlineLevel="0" max="1" min="1" style="7" width="17.13"/>
    <col collapsed="false" customWidth="true" hidden="false" outlineLevel="0" max="3" min="2" style="7" width="14.88"/>
    <col collapsed="false" customWidth="true" hidden="false" outlineLevel="0" max="4" min="4" style="7" width="18.24"/>
    <col collapsed="false" customWidth="false" hidden="false" outlineLevel="0" max="5" min="5" style="7" width="12.63"/>
    <col collapsed="false" customWidth="true" hidden="false" outlineLevel="0" max="6" min="6" style="7" width="10.46"/>
    <col collapsed="false" customWidth="true" hidden="false" outlineLevel="0" max="8" min="7" style="7" width="8.21"/>
    <col collapsed="false" customWidth="true" hidden="false" outlineLevel="0" max="9" min="9" style="7" width="17.13"/>
    <col collapsed="false" customWidth="true" hidden="false" outlineLevel="0" max="10" min="10" style="7" width="18.24"/>
    <col collapsed="false" customWidth="true" hidden="false" outlineLevel="0" max="11" min="11" style="7" width="16.02"/>
    <col collapsed="false" customWidth="false" hidden="false" outlineLevel="0" max="1024" min="12" style="7" width="12.63"/>
  </cols>
  <sheetData>
    <row r="1" customFormat="false" ht="12.8" hidden="false" customHeight="false" outlineLevel="0" collapsed="false">
      <c r="A1" s="8" t="s">
        <v>38</v>
      </c>
      <c r="B1" s="8" t="s">
        <v>39</v>
      </c>
      <c r="C1" s="8" t="s">
        <v>40</v>
      </c>
      <c r="D1" s="8" t="s">
        <v>41</v>
      </c>
      <c r="E1" s="8" t="s">
        <v>2</v>
      </c>
      <c r="F1" s="8" t="s">
        <v>5</v>
      </c>
      <c r="G1" s="8" t="s">
        <v>3</v>
      </c>
      <c r="H1" s="8" t="s">
        <v>4</v>
      </c>
      <c r="I1" s="9" t="s">
        <v>42</v>
      </c>
      <c r="J1" s="9" t="s">
        <v>43</v>
      </c>
      <c r="K1" s="9" t="s">
        <v>44</v>
      </c>
      <c r="L1" s="9"/>
      <c r="M1" s="9"/>
      <c r="N1" s="9"/>
      <c r="O1" s="9"/>
      <c r="P1" s="9"/>
      <c r="Q1" s="9"/>
      <c r="R1" s="9"/>
      <c r="S1" s="9"/>
      <c r="T1" s="9"/>
      <c r="U1" s="9"/>
      <c r="V1" s="9"/>
      <c r="W1" s="9"/>
      <c r="X1" s="9"/>
      <c r="Y1" s="9"/>
      <c r="Z1" s="9"/>
      <c r="AA1" s="9"/>
      <c r="AB1" s="9"/>
      <c r="AC1" s="9"/>
    </row>
    <row r="2" customFormat="false" ht="12.8" hidden="false" customHeight="false" outlineLevel="0" collapsed="false">
      <c r="A2" s="10" t="n">
        <v>3</v>
      </c>
      <c r="B2" s="10" t="s">
        <v>45</v>
      </c>
      <c r="C2" s="10" t="s">
        <v>46</v>
      </c>
      <c r="D2" s="10" t="s">
        <v>47</v>
      </c>
      <c r="E2" s="10" t="s">
        <v>48</v>
      </c>
      <c r="F2" s="10" t="s">
        <v>9</v>
      </c>
      <c r="G2" s="10" t="n">
        <v>459676</v>
      </c>
      <c r="H2" s="10" t="n">
        <v>459796</v>
      </c>
    </row>
    <row r="3" customFormat="false" ht="12.8" hidden="false" customHeight="false" outlineLevel="0" collapsed="false">
      <c r="A3" s="10" t="n">
        <v>3</v>
      </c>
      <c r="C3" s="10" t="s">
        <v>49</v>
      </c>
    </row>
    <row r="4" customFormat="false" ht="12.8" hidden="false" customHeight="false" outlineLevel="0" collapsed="false">
      <c r="A4" s="10" t="n">
        <v>3</v>
      </c>
      <c r="B4" s="10" t="s">
        <v>50</v>
      </c>
      <c r="C4" s="10" t="s">
        <v>51</v>
      </c>
      <c r="D4" s="10" t="s">
        <v>52</v>
      </c>
      <c r="E4" s="10" t="s">
        <v>48</v>
      </c>
      <c r="F4" s="10" t="s">
        <v>9</v>
      </c>
      <c r="G4" s="10" t="n">
        <v>366235</v>
      </c>
      <c r="H4" s="10" t="n">
        <v>366346</v>
      </c>
    </row>
    <row r="5" customFormat="false" ht="12.8" hidden="false" customHeight="false" outlineLevel="0" collapsed="false">
      <c r="A5" s="10" t="n">
        <v>3</v>
      </c>
      <c r="B5" s="10" t="s">
        <v>50</v>
      </c>
      <c r="C5" s="10" t="s">
        <v>53</v>
      </c>
      <c r="D5" s="10" t="s">
        <v>54</v>
      </c>
      <c r="E5" s="10" t="s">
        <v>16</v>
      </c>
      <c r="F5" s="10" t="s">
        <v>21</v>
      </c>
      <c r="G5" s="10" t="n">
        <v>431129</v>
      </c>
      <c r="H5" s="10" t="n">
        <v>431220</v>
      </c>
    </row>
    <row r="6" customFormat="false" ht="12.8" hidden="false" customHeight="false" outlineLevel="0" collapsed="false">
      <c r="A6" s="10" t="n">
        <v>3</v>
      </c>
      <c r="B6" s="10" t="s">
        <v>50</v>
      </c>
      <c r="C6" s="10" t="s">
        <v>55</v>
      </c>
      <c r="D6" s="10" t="s">
        <v>56</v>
      </c>
      <c r="E6" s="10" t="s">
        <v>16</v>
      </c>
      <c r="F6" s="10" t="s">
        <v>21</v>
      </c>
      <c r="G6" s="10" t="n">
        <v>117667</v>
      </c>
      <c r="H6" s="10" t="n">
        <v>118035</v>
      </c>
    </row>
    <row r="7" customFormat="false" ht="12.8" hidden="false" customHeight="false" outlineLevel="0" collapsed="false">
      <c r="A7" s="10" t="n">
        <v>3</v>
      </c>
      <c r="B7" s="10" t="s">
        <v>50</v>
      </c>
      <c r="C7" s="10" t="s">
        <v>57</v>
      </c>
      <c r="D7" s="10" t="s">
        <v>58</v>
      </c>
      <c r="E7" s="10" t="s">
        <v>16</v>
      </c>
      <c r="F7" s="10" t="s">
        <v>9</v>
      </c>
      <c r="G7" s="10" t="n">
        <v>441987</v>
      </c>
      <c r="H7" s="10" t="n">
        <v>442508</v>
      </c>
    </row>
    <row r="8" customFormat="false" ht="12.8" hidden="false" customHeight="false" outlineLevel="0" collapsed="false">
      <c r="A8" s="10" t="n">
        <v>3</v>
      </c>
      <c r="B8" s="10" t="s">
        <v>50</v>
      </c>
      <c r="C8" s="10" t="s">
        <v>59</v>
      </c>
      <c r="D8" s="10" t="s">
        <v>60</v>
      </c>
      <c r="E8" s="10" t="s">
        <v>61</v>
      </c>
      <c r="F8" s="10" t="s">
        <v>21</v>
      </c>
      <c r="G8" s="10" t="n">
        <v>667288</v>
      </c>
      <c r="H8" s="10" t="n">
        <v>667456</v>
      </c>
    </row>
    <row r="9" customFormat="false" ht="12.8" hidden="false" customHeight="false" outlineLevel="0" collapsed="false">
      <c r="A9" s="10" t="n">
        <v>3</v>
      </c>
      <c r="B9" s="10" t="s">
        <v>50</v>
      </c>
      <c r="C9" s="10" t="s">
        <v>62</v>
      </c>
      <c r="D9" s="10" t="s">
        <v>63</v>
      </c>
      <c r="E9" s="10" t="s">
        <v>61</v>
      </c>
      <c r="F9" s="10" t="s">
        <v>9</v>
      </c>
      <c r="G9" s="10" t="n">
        <v>91970</v>
      </c>
      <c r="H9" s="10" t="n">
        <v>92027</v>
      </c>
    </row>
    <row r="10" customFormat="false" ht="15.75" hidden="false" customHeight="true" outlineLevel="0" collapsed="false">
      <c r="A10" s="7" t="n">
        <v>2</v>
      </c>
      <c r="C10" s="7" t="s">
        <v>50</v>
      </c>
      <c r="I10" s="7" t="s">
        <v>64</v>
      </c>
      <c r="J10" s="7" t="s">
        <v>65</v>
      </c>
      <c r="K10" s="7" t="n">
        <v>500</v>
      </c>
    </row>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7421875" defaultRowHeight="15.75" zeroHeight="false" outlineLevelRow="0" outlineLevelCol="0"/>
  <cols>
    <col collapsed="false" customWidth="true" hidden="false" outlineLevel="0" max="1" min="1" style="0" width="15"/>
  </cols>
  <sheetData>
    <row r="1" customFormat="false" ht="15.75" hidden="false" customHeight="false" outlineLevel="0" collapsed="false">
      <c r="A1" s="11" t="s">
        <v>66</v>
      </c>
    </row>
    <row r="2" customFormat="false" ht="15.75" hidden="false" customHeight="false" outlineLevel="0" collapsed="false">
      <c r="A2" s="11" t="s">
        <v>67</v>
      </c>
    </row>
    <row r="3" customFormat="false" ht="15.75" hidden="false" customHeight="false" outlineLevel="0" collapsed="false">
      <c r="A3" s="11" t="s">
        <v>68</v>
      </c>
    </row>
    <row r="4" customFormat="false" ht="15.75" hidden="false" customHeight="false" outlineLevel="0" collapsed="false">
      <c r="A4" s="11" t="s">
        <v>69</v>
      </c>
    </row>
  </sheetData>
  <printOptions headings="false" gridLines="false" gridLinesSet="true" horizontalCentered="false" verticalCentered="false"/>
  <pageMargins left="0.747916666666667" right="0.747916666666667" top="0.984027777777778" bottom="0.984027777777778"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733</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en-CA</dc:language>
  <cp:lastModifiedBy/>
  <dcterms:modified xsi:type="dcterms:W3CDTF">2025-09-25T11:52:25Z</dcterms:modified>
  <cp:revision>9</cp:revision>
  <dc:subject/>
  <dc:title/>
</cp:coreProperties>
</file>

<file path=docProps/custom.xml><?xml version="1.0" encoding="utf-8"?>
<Properties xmlns="http://schemas.openxmlformats.org/officeDocument/2006/custom-properties" xmlns:vt="http://schemas.openxmlformats.org/officeDocument/2006/docPropsVTypes"/>
</file>